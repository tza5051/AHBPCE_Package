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/Documents/Positron/AHBPCE_Package/data-raw/"/>
    </mc:Choice>
  </mc:AlternateContent>
  <xr:revisionPtr revIDLastSave="0" documentId="13_ncr:1_{8FB6CB28-E85D-8745-96B0-12784DA824CC}" xr6:coauthVersionLast="47" xr6:coauthVersionMax="47" xr10:uidLastSave="{00000000-0000-0000-0000-000000000000}"/>
  <bookViews>
    <workbookView xWindow="0" yWindow="660" windowWidth="30240" windowHeight="17960" xr2:uid="{22FBC597-6A6E-4156-990A-E0A19A71570D}"/>
  </bookViews>
  <sheets>
    <sheet name="Reactance" sheetId="1" r:id="rId1"/>
    <sheet name="Resistanc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3" l="1"/>
  <c r="F5" i="3"/>
  <c r="K13" i="3"/>
  <c r="F13" i="3"/>
  <c r="J13" i="3"/>
  <c r="I13" i="3"/>
  <c r="H13" i="3"/>
  <c r="G13" i="3"/>
  <c r="E13" i="3"/>
  <c r="D13" i="3"/>
  <c r="C13" i="3"/>
  <c r="B13" i="3"/>
  <c r="J5" i="3"/>
  <c r="I5" i="3"/>
  <c r="H5" i="3"/>
  <c r="G5" i="3"/>
  <c r="E5" i="3"/>
  <c r="D5" i="3"/>
  <c r="C5" i="3"/>
  <c r="B5" i="3"/>
</calcChain>
</file>

<file path=xl/sharedStrings.xml><?xml version="1.0" encoding="utf-8"?>
<sst xmlns="http://schemas.openxmlformats.org/spreadsheetml/2006/main" count="25" uniqueCount="14">
  <si>
    <t>male_b</t>
  </si>
  <si>
    <t>male_c</t>
  </si>
  <si>
    <t>male_d</t>
  </si>
  <si>
    <t>female_a</t>
  </si>
  <si>
    <t>male_a</t>
  </si>
  <si>
    <t>female_b</t>
  </si>
  <si>
    <t>female_c</t>
  </si>
  <si>
    <t>female_d</t>
  </si>
  <si>
    <t>Frequency</t>
  </si>
  <si>
    <t>RSD_male</t>
  </si>
  <si>
    <t>RSD_female</t>
  </si>
  <si>
    <t>fres</t>
  </si>
  <si>
    <t>AX5</t>
  </si>
  <si>
    <t>AX4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</si>
</sst>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ED685-DC37-4E42-9202-EE2654A08B02}">
  <dimension ref="A1:K11"/>
  <sheetViews>
    <sheetView tabSelected="1" workbookViewId="0">
      <selection activeCell="G18" sqref="G18"/>
    </sheetView>
  </sheetViews>
  <sheetFormatPr baseColWidth="10" defaultColWidth="8.83203125" defaultRowHeight="15" x14ac:dyDescent="0.2"/>
  <cols>
    <col min="11" max="11" width="11.6640625" bestFit="1" customWidth="1"/>
  </cols>
  <sheetData>
    <row r="1" spans="1:11" x14ac:dyDescent="0.2">
      <c r="A1" t="s">
        <v>8</v>
      </c>
      <c r="B1" t="s">
        <v>4</v>
      </c>
      <c r="C1" t="s">
        <v>0</v>
      </c>
      <c r="D1" t="s">
        <v>1</v>
      </c>
      <c r="E1" t="s">
        <v>2</v>
      </c>
      <c r="F1" t="s">
        <v>9</v>
      </c>
      <c r="G1" t="s">
        <v>3</v>
      </c>
      <c r="H1" t="s">
        <v>5</v>
      </c>
      <c r="I1" t="s">
        <v>6</v>
      </c>
      <c r="J1" t="s">
        <v>7</v>
      </c>
      <c r="K1" t="s">
        <v>10</v>
      </c>
    </row>
    <row r="2" spans="1:11" x14ac:dyDescent="0.2">
      <c r="A2">
        <v>4</v>
      </c>
      <c r="B2">
        <v>2.9740000000000002</v>
      </c>
      <c r="C2">
        <v>-0.82799999999999996</v>
      </c>
      <c r="D2">
        <v>0</v>
      </c>
      <c r="E2">
        <v>1.8500000000000001E-3</v>
      </c>
      <c r="F2">
        <v>8.09E-2</v>
      </c>
      <c r="G2">
        <v>2.649</v>
      </c>
      <c r="H2">
        <v>-0.71599999999999997</v>
      </c>
      <c r="I2">
        <v>1.8400000000000001E-3</v>
      </c>
      <c r="J2">
        <v>2.6099999999999999E-3</v>
      </c>
      <c r="K2">
        <v>9.1800000000000007E-2</v>
      </c>
    </row>
    <row r="3" spans="1:11" x14ac:dyDescent="0.2">
      <c r="A3">
        <v>5</v>
      </c>
      <c r="B3">
        <v>2.6829999999999998</v>
      </c>
      <c r="C3">
        <v>-0.70299999999999996</v>
      </c>
      <c r="D3">
        <v>0</v>
      </c>
      <c r="E3">
        <v>1.9E-3</v>
      </c>
      <c r="F3">
        <v>7.2800000000000004E-2</v>
      </c>
      <c r="G3">
        <v>2.3730000000000002</v>
      </c>
      <c r="H3">
        <v>-0.60699999999999998</v>
      </c>
      <c r="I3">
        <v>1.5E-3</v>
      </c>
      <c r="J3">
        <v>3.1199999999999999E-3</v>
      </c>
      <c r="K3">
        <v>8.14E-2</v>
      </c>
    </row>
    <row r="4" spans="1:11" x14ac:dyDescent="0.2">
      <c r="A4">
        <v>6</v>
      </c>
      <c r="B4">
        <v>2.407</v>
      </c>
      <c r="C4">
        <v>-0.60599999999999998</v>
      </c>
      <c r="D4">
        <v>0</v>
      </c>
      <c r="E4">
        <v>2.3400000000000001E-3</v>
      </c>
      <c r="F4">
        <v>7.0099999999999996E-2</v>
      </c>
      <c r="G4">
        <v>2.2120000000000002</v>
      </c>
      <c r="H4">
        <v>-0.57699999999999996</v>
      </c>
      <c r="I4">
        <v>1.4400000000000001E-3</v>
      </c>
      <c r="J4">
        <v>3.7299999999999998E-3</v>
      </c>
      <c r="K4">
        <v>8.0600000000000005E-2</v>
      </c>
    </row>
    <row r="5" spans="1:11" x14ac:dyDescent="0.2">
      <c r="A5">
        <v>8</v>
      </c>
      <c r="B5">
        <v>2.1800000000000002</v>
      </c>
      <c r="C5">
        <v>-0.497</v>
      </c>
      <c r="D5">
        <v>0</v>
      </c>
      <c r="E5">
        <v>1.8699999999999999E-3</v>
      </c>
      <c r="F5">
        <v>6.54E-2</v>
      </c>
      <c r="G5">
        <v>1.9159999999999999</v>
      </c>
      <c r="H5">
        <v>-0.39600000000000002</v>
      </c>
      <c r="I5">
        <v>7.3999999999999999E-4</v>
      </c>
      <c r="J5">
        <v>2.9299999999999999E-3</v>
      </c>
      <c r="K5">
        <v>8.48E-2</v>
      </c>
    </row>
    <row r="6" spans="1:11" x14ac:dyDescent="0.2">
      <c r="A6">
        <v>10</v>
      </c>
      <c r="B6">
        <v>2.2069999999999999</v>
      </c>
      <c r="C6">
        <v>-0.56100000000000005</v>
      </c>
      <c r="D6">
        <v>0</v>
      </c>
      <c r="E6">
        <v>2.4399999999999999E-3</v>
      </c>
      <c r="F6">
        <v>6.8000000000000005E-2</v>
      </c>
      <c r="G6">
        <v>1.79</v>
      </c>
      <c r="H6">
        <v>-0.39200000000000002</v>
      </c>
      <c r="I6">
        <v>1.34E-3</v>
      </c>
      <c r="J6">
        <v>3.2799999999999999E-3</v>
      </c>
      <c r="K6">
        <v>8.6999999999999994E-2</v>
      </c>
    </row>
    <row r="7" spans="1:11" x14ac:dyDescent="0.2">
      <c r="A7">
        <v>12</v>
      </c>
      <c r="B7">
        <v>2.145</v>
      </c>
      <c r="C7">
        <v>-0.56799999999999995</v>
      </c>
      <c r="D7">
        <v>0</v>
      </c>
      <c r="E7">
        <v>2.64E-3</v>
      </c>
      <c r="F7">
        <v>7.3999999999999996E-2</v>
      </c>
      <c r="G7">
        <v>1.647</v>
      </c>
      <c r="H7">
        <v>-0.36299999999999999</v>
      </c>
      <c r="I7">
        <v>1.58E-3</v>
      </c>
      <c r="J7">
        <v>3.46E-3</v>
      </c>
      <c r="K7">
        <v>9.9500000000000005E-2</v>
      </c>
    </row>
    <row r="8" spans="1:11" x14ac:dyDescent="0.2">
      <c r="A8">
        <v>14</v>
      </c>
      <c r="B8">
        <v>2.2650000000000001</v>
      </c>
      <c r="C8">
        <v>-0.67900000000000005</v>
      </c>
      <c r="D8">
        <v>0</v>
      </c>
      <c r="E8">
        <v>3.0999999999999999E-3</v>
      </c>
      <c r="F8">
        <v>8.9099999999999999E-2</v>
      </c>
      <c r="G8">
        <v>1.5</v>
      </c>
      <c r="H8">
        <v>-0.35099999999999998</v>
      </c>
      <c r="I8">
        <v>2.2799999999999999E-3</v>
      </c>
      <c r="J8">
        <v>4.0499999999999998E-3</v>
      </c>
      <c r="K8">
        <v>0.10879999999999999</v>
      </c>
    </row>
    <row r="9" spans="1:11" x14ac:dyDescent="0.2">
      <c r="A9" t="s">
        <v>11</v>
      </c>
      <c r="B9">
        <v>5.07</v>
      </c>
      <c r="C9">
        <v>-1.9039999999999999</v>
      </c>
      <c r="D9">
        <v>0</v>
      </c>
      <c r="E9">
        <v>8.6400000000000001E-3</v>
      </c>
      <c r="F9">
        <v>0.24979999999999999</v>
      </c>
      <c r="G9">
        <v>3.415</v>
      </c>
      <c r="H9">
        <v>-1.1040000000000001</v>
      </c>
      <c r="I9">
        <v>3.5400000000000002E-3</v>
      </c>
      <c r="J9">
        <v>1.001E-2</v>
      </c>
      <c r="K9">
        <v>0.25490000000000002</v>
      </c>
    </row>
    <row r="10" spans="1:11" x14ac:dyDescent="0.2">
      <c r="A10" t="s">
        <v>13</v>
      </c>
      <c r="B10">
        <v>9.0340000000000007</v>
      </c>
      <c r="C10">
        <v>-5.2880000000000003</v>
      </c>
      <c r="D10">
        <v>0</v>
      </c>
      <c r="E10">
        <v>1.719E-2</v>
      </c>
      <c r="F10">
        <v>0.56699999999999995</v>
      </c>
      <c r="G10">
        <v>5.7779999999999996</v>
      </c>
      <c r="H10">
        <v>-3.7850000000000001</v>
      </c>
      <c r="I10">
        <v>9.5999999999999992E-3</v>
      </c>
      <c r="J10">
        <v>2.2200000000000001E-2</v>
      </c>
      <c r="K10">
        <v>0.56730000000000003</v>
      </c>
    </row>
    <row r="11" spans="1:11" x14ac:dyDescent="0.2">
      <c r="A11" t="s">
        <v>12</v>
      </c>
      <c r="B11">
        <v>9.73</v>
      </c>
      <c r="C11">
        <v>-6.1070000000000002</v>
      </c>
      <c r="D11">
        <v>0</v>
      </c>
      <c r="E11">
        <v>2.1219999999999999E-2</v>
      </c>
      <c r="F11">
        <v>0.72660000000000002</v>
      </c>
      <c r="G11">
        <v>5.49</v>
      </c>
      <c r="H11">
        <v>-4.1219999999999999</v>
      </c>
      <c r="I11">
        <v>9.5999999999999992E-3</v>
      </c>
      <c r="J11">
        <v>2.836E-2</v>
      </c>
      <c r="K11">
        <v>0.69420000000000004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B3D8B-1F98-4546-BD8A-44655BCB425C}">
  <dimension ref="A1:K17"/>
  <sheetViews>
    <sheetView workbookViewId="0">
      <selection activeCell="K5" sqref="K5"/>
    </sheetView>
  </sheetViews>
  <sheetFormatPr baseColWidth="10" defaultColWidth="8.83203125" defaultRowHeight="15" x14ac:dyDescent="0.2"/>
  <cols>
    <col min="11" max="11" width="11.6640625" bestFit="1" customWidth="1"/>
  </cols>
  <sheetData>
    <row r="1" spans="1:11" x14ac:dyDescent="0.2">
      <c r="A1" t="s">
        <v>8</v>
      </c>
      <c r="B1" t="s">
        <v>4</v>
      </c>
      <c r="C1" t="s">
        <v>0</v>
      </c>
      <c r="D1" t="s">
        <v>1</v>
      </c>
      <c r="E1" t="s">
        <v>2</v>
      </c>
      <c r="F1" t="s">
        <v>9</v>
      </c>
      <c r="G1" t="s">
        <v>3</v>
      </c>
      <c r="H1" t="s">
        <v>5</v>
      </c>
      <c r="I1" t="s">
        <v>6</v>
      </c>
      <c r="J1" t="s">
        <v>7</v>
      </c>
      <c r="K1" t="s">
        <v>10</v>
      </c>
    </row>
    <row r="2" spans="1:11" x14ac:dyDescent="0.2">
      <c r="A2">
        <v>4</v>
      </c>
      <c r="B2">
        <v>5.6210000000000004</v>
      </c>
      <c r="C2">
        <v>-3.23</v>
      </c>
      <c r="D2">
        <v>-4.3E-3</v>
      </c>
      <c r="E2">
        <v>1.4919999999999999E-2</v>
      </c>
      <c r="F2">
        <v>0.27889999999999998</v>
      </c>
      <c r="G2">
        <v>2.8279999999999998</v>
      </c>
      <c r="H2">
        <v>-1.643</v>
      </c>
      <c r="I2">
        <v>4.0499999999999998E-3</v>
      </c>
      <c r="J2">
        <v>1.2540000000000001E-2</v>
      </c>
      <c r="K2">
        <v>0.26369999999999999</v>
      </c>
    </row>
    <row r="3" spans="1:11" x14ac:dyDescent="0.2">
      <c r="A3">
        <v>5</v>
      </c>
      <c r="B3">
        <v>5.327</v>
      </c>
      <c r="C3">
        <v>-3.032</v>
      </c>
      <c r="D3">
        <v>-3.81E-3</v>
      </c>
      <c r="E3">
        <v>1.3899999999999999E-2</v>
      </c>
      <c r="F3">
        <v>0.28029999999999999</v>
      </c>
      <c r="G3">
        <v>2.5910000000000002</v>
      </c>
      <c r="H3">
        <v>-1.4610000000000001</v>
      </c>
      <c r="I3">
        <v>2.7899999999999999E-3</v>
      </c>
      <c r="J3">
        <v>1.221E-2</v>
      </c>
      <c r="K3">
        <v>0.26569999999999999</v>
      </c>
    </row>
    <row r="4" spans="1:11" x14ac:dyDescent="0.2">
      <c r="A4">
        <v>6</v>
      </c>
      <c r="B4">
        <v>5.4539999999999997</v>
      </c>
      <c r="C4">
        <v>-3.0790000000000002</v>
      </c>
      <c r="D4">
        <v>-4.8199999999999996E-3</v>
      </c>
      <c r="E4">
        <v>1.366E-2</v>
      </c>
      <c r="F4">
        <v>0.26619999999999999</v>
      </c>
      <c r="G4">
        <v>2.556</v>
      </c>
      <c r="H4">
        <v>-1.464</v>
      </c>
      <c r="I4">
        <v>3.0999999999999999E-3</v>
      </c>
      <c r="J4">
        <v>1.222E-2</v>
      </c>
      <c r="K4">
        <v>0.26479999999999998</v>
      </c>
    </row>
    <row r="5" spans="1:11" x14ac:dyDescent="0.2">
      <c r="A5" s="1">
        <v>7</v>
      </c>
      <c r="B5" s="1">
        <f>AVERAGE(B4,B6)</f>
        <v>5.3550000000000004</v>
      </c>
      <c r="C5" s="1">
        <f t="shared" ref="C5:J5" si="0">AVERAGE(C4,C6)</f>
        <v>-3.0255000000000001</v>
      </c>
      <c r="D5" s="1">
        <f t="shared" si="0"/>
        <v>-4.4999999999999997E-3</v>
      </c>
      <c r="E5" s="1">
        <f t="shared" si="0"/>
        <v>1.3590000000000001E-2</v>
      </c>
      <c r="F5" s="1">
        <f>AVERAGE(F4,F6)</f>
        <v>0.26655000000000001</v>
      </c>
      <c r="G5" s="1">
        <f t="shared" si="0"/>
        <v>2.5990000000000002</v>
      </c>
      <c r="H5" s="1">
        <f t="shared" si="0"/>
        <v>-1.476</v>
      </c>
      <c r="I5" s="1">
        <f t="shared" si="0"/>
        <v>3.3049999999999998E-3</v>
      </c>
      <c r="J5" s="1">
        <f t="shared" si="0"/>
        <v>1.1705E-2</v>
      </c>
      <c r="K5" s="1">
        <f>AVERAGE(K4,K6)</f>
        <v>0.26644999999999996</v>
      </c>
    </row>
    <row r="6" spans="1:11" x14ac:dyDescent="0.2">
      <c r="A6">
        <v>8</v>
      </c>
      <c r="B6">
        <v>5.2560000000000002</v>
      </c>
      <c r="C6">
        <v>-2.972</v>
      </c>
      <c r="D6">
        <v>-4.1799999999999997E-3</v>
      </c>
      <c r="E6">
        <v>1.3520000000000001E-2</v>
      </c>
      <c r="F6">
        <v>0.26690000000000003</v>
      </c>
      <c r="G6">
        <v>2.6419999999999999</v>
      </c>
      <c r="H6">
        <v>-1.488</v>
      </c>
      <c r="I6">
        <v>3.5100000000000001E-3</v>
      </c>
      <c r="J6">
        <v>1.119E-2</v>
      </c>
      <c r="K6">
        <v>0.2681</v>
      </c>
    </row>
    <row r="7" spans="1:11" x14ac:dyDescent="0.2">
      <c r="A7">
        <v>10</v>
      </c>
      <c r="B7">
        <v>4.9640000000000004</v>
      </c>
      <c r="C7">
        <v>-2.794</v>
      </c>
      <c r="D7">
        <v>-3.47E-3</v>
      </c>
      <c r="E7">
        <v>1.251E-2</v>
      </c>
      <c r="F7">
        <v>0.27460000000000001</v>
      </c>
      <c r="G7">
        <v>2.5720000000000001</v>
      </c>
      <c r="H7">
        <v>-1.4410000000000001</v>
      </c>
      <c r="I7">
        <v>2.48E-3</v>
      </c>
      <c r="J7">
        <v>1.123E-2</v>
      </c>
      <c r="K7">
        <v>0.26719999999999999</v>
      </c>
    </row>
    <row r="8" spans="1:11" x14ac:dyDescent="0.2">
      <c r="A8">
        <v>12</v>
      </c>
      <c r="B8">
        <v>4.9240000000000004</v>
      </c>
      <c r="C8">
        <v>-2.734</v>
      </c>
      <c r="D8">
        <v>-4.1999999999999997E-3</v>
      </c>
      <c r="E8">
        <v>1.2019999999999999E-2</v>
      </c>
      <c r="F8">
        <v>0.26740000000000003</v>
      </c>
      <c r="G8">
        <v>2.3439999999999999</v>
      </c>
      <c r="H8">
        <v>-1.264</v>
      </c>
      <c r="I8">
        <v>3.2100000000000002E-3</v>
      </c>
      <c r="J8">
        <v>9.7999999999999997E-3</v>
      </c>
      <c r="K8">
        <v>0.26369999999999999</v>
      </c>
    </row>
    <row r="9" spans="1:11" x14ac:dyDescent="0.2">
      <c r="A9">
        <v>14</v>
      </c>
      <c r="B9">
        <v>4.4020000000000001</v>
      </c>
      <c r="C9">
        <v>-2.3929999999999998</v>
      </c>
      <c r="D9">
        <v>-3.82E-3</v>
      </c>
      <c r="E9">
        <v>1.091E-2</v>
      </c>
      <c r="F9">
        <v>0.26179999999999998</v>
      </c>
      <c r="G9">
        <v>2.3380000000000001</v>
      </c>
      <c r="H9">
        <v>-1.2130000000000001</v>
      </c>
      <c r="I9">
        <v>2.66E-3</v>
      </c>
      <c r="J9">
        <v>9.3600000000000003E-3</v>
      </c>
      <c r="K9">
        <v>0.25280000000000002</v>
      </c>
    </row>
    <row r="10" spans="1:11" x14ac:dyDescent="0.2">
      <c r="A10">
        <v>15</v>
      </c>
      <c r="B10">
        <v>4.181</v>
      </c>
      <c r="C10">
        <v>-2.286</v>
      </c>
      <c r="D10">
        <v>-3.2799999999999999E-3</v>
      </c>
      <c r="E10">
        <v>1.0659999999999999E-2</v>
      </c>
      <c r="F10">
        <v>0.26490000000000002</v>
      </c>
      <c r="G10">
        <v>2.4260000000000002</v>
      </c>
      <c r="H10">
        <v>-1.2450000000000001</v>
      </c>
      <c r="I10">
        <v>1.4400000000000001E-3</v>
      </c>
      <c r="J10">
        <v>9.2700000000000005E-3</v>
      </c>
      <c r="K10">
        <v>0.25619999999999998</v>
      </c>
    </row>
    <row r="11" spans="1:11" x14ac:dyDescent="0.2">
      <c r="A11">
        <v>16</v>
      </c>
      <c r="B11">
        <v>4.3730000000000002</v>
      </c>
      <c r="C11">
        <v>-2.3370000000000002</v>
      </c>
      <c r="D11">
        <v>-4.2900000000000004E-3</v>
      </c>
      <c r="E11">
        <v>1.0330000000000001E-2</v>
      </c>
      <c r="F11">
        <v>0.26090000000000002</v>
      </c>
      <c r="G11">
        <v>2.423</v>
      </c>
      <c r="H11">
        <v>-1.198</v>
      </c>
      <c r="I11">
        <v>1.6900000000000001E-3</v>
      </c>
      <c r="J11">
        <v>8.6099999999999996E-3</v>
      </c>
      <c r="K11">
        <v>0.24859999999999999</v>
      </c>
    </row>
    <row r="12" spans="1:11" x14ac:dyDescent="0.2">
      <c r="A12">
        <v>18</v>
      </c>
      <c r="B12">
        <v>3.9609999999999999</v>
      </c>
      <c r="C12">
        <v>-2.052</v>
      </c>
      <c r="D12">
        <v>-4.2199999999999998E-3</v>
      </c>
      <c r="E12">
        <v>9.3699999999999999E-3</v>
      </c>
      <c r="F12">
        <v>0.26090000000000002</v>
      </c>
      <c r="G12">
        <v>2.2029999999999998</v>
      </c>
      <c r="H12">
        <v>-1.0269999999999999</v>
      </c>
      <c r="I12">
        <v>1.99E-3</v>
      </c>
      <c r="J12">
        <v>7.9799999999999992E-3</v>
      </c>
      <c r="K12">
        <v>0.25219999999999998</v>
      </c>
    </row>
    <row r="13" spans="1:11" x14ac:dyDescent="0.2">
      <c r="A13" s="1">
        <v>19</v>
      </c>
      <c r="B13" s="1">
        <f>AVERAGE(B12,B14)</f>
        <v>3.7504999999999997</v>
      </c>
      <c r="C13" s="1">
        <f t="shared" ref="C13:J13" si="1">AVERAGE(C12,C14)</f>
        <v>-1.9380000000000002</v>
      </c>
      <c r="D13" s="1">
        <f t="shared" si="1"/>
        <v>-3.7599999999999999E-3</v>
      </c>
      <c r="E13" s="1">
        <f t="shared" si="1"/>
        <v>9.1250000000000012E-3</v>
      </c>
      <c r="F13" s="1">
        <f>AVERAGE(F12,F14)</f>
        <v>0.26234999999999997</v>
      </c>
      <c r="G13" s="1">
        <f t="shared" si="1"/>
        <v>2.3425000000000002</v>
      </c>
      <c r="H13" s="1">
        <f t="shared" si="1"/>
        <v>-1.0745</v>
      </c>
      <c r="I13" s="1">
        <f t="shared" si="1"/>
        <v>1.67E-3</v>
      </c>
      <c r="J13" s="1">
        <f t="shared" si="1"/>
        <v>7.4649999999999994E-3</v>
      </c>
      <c r="K13" s="1">
        <f>AVERAGE(K12,K14)</f>
        <v>0.24945000000000001</v>
      </c>
    </row>
    <row r="14" spans="1:11" x14ac:dyDescent="0.2">
      <c r="A14">
        <v>20</v>
      </c>
      <c r="B14">
        <v>3.54</v>
      </c>
      <c r="C14">
        <v>-1.8240000000000001</v>
      </c>
      <c r="D14">
        <v>-3.3E-3</v>
      </c>
      <c r="E14">
        <v>8.8800000000000007E-3</v>
      </c>
      <c r="F14">
        <v>0.26379999999999998</v>
      </c>
      <c r="G14">
        <v>2.4820000000000002</v>
      </c>
      <c r="H14">
        <v>-1.1220000000000001</v>
      </c>
      <c r="I14">
        <v>1.3500000000000001E-3</v>
      </c>
      <c r="J14">
        <v>6.9499999999999996E-3</v>
      </c>
      <c r="K14">
        <v>0.2467</v>
      </c>
    </row>
    <row r="15" spans="1:11" x14ac:dyDescent="0.2">
      <c r="A15">
        <v>22</v>
      </c>
      <c r="B15">
        <v>3.7679999999999998</v>
      </c>
      <c r="C15">
        <v>-1.8340000000000001</v>
      </c>
      <c r="D15">
        <v>-4.5700000000000003E-3</v>
      </c>
      <c r="E15">
        <v>7.7099999999999998E-3</v>
      </c>
      <c r="F15">
        <v>0.25609999999999999</v>
      </c>
      <c r="G15">
        <v>2.2589999999999999</v>
      </c>
      <c r="H15">
        <v>-0.95099999999999996</v>
      </c>
      <c r="I15">
        <v>8.5999999999999998E-4</v>
      </c>
      <c r="J15">
        <v>6.8199999999999997E-3</v>
      </c>
      <c r="K15">
        <v>0.25009999999999999</v>
      </c>
    </row>
    <row r="16" spans="1:11" x14ac:dyDescent="0.2">
      <c r="A16">
        <v>24</v>
      </c>
      <c r="B16">
        <v>3.6720000000000002</v>
      </c>
      <c r="C16">
        <v>-1.778</v>
      </c>
      <c r="D16">
        <v>-4.7999999999999996E-3</v>
      </c>
      <c r="E16">
        <v>7.9600000000000001E-3</v>
      </c>
      <c r="F16">
        <v>0.2457</v>
      </c>
      <c r="G16">
        <v>2.3679999999999999</v>
      </c>
      <c r="H16">
        <v>-0.96699999999999997</v>
      </c>
      <c r="I16">
        <v>8.5999999999999998E-4</v>
      </c>
      <c r="J16">
        <v>5.7099999999999998E-3</v>
      </c>
      <c r="K16">
        <v>0.23830000000000001</v>
      </c>
    </row>
    <row r="17" spans="1:11" x14ac:dyDescent="0.2">
      <c r="A17">
        <v>26</v>
      </c>
      <c r="B17">
        <v>3.5779999999999998</v>
      </c>
      <c r="C17">
        <v>-1.6619999999999999</v>
      </c>
      <c r="D17">
        <v>-4.9100000000000003E-3</v>
      </c>
      <c r="E17">
        <v>6.8900000000000003E-3</v>
      </c>
      <c r="F17">
        <v>0.2457</v>
      </c>
      <c r="G17">
        <v>2.4369999999999998</v>
      </c>
      <c r="H17">
        <v>-0.95299999999999996</v>
      </c>
      <c r="I17">
        <v>-2.0000000000000002E-5</v>
      </c>
      <c r="J17">
        <v>5.2399999999999999E-3</v>
      </c>
      <c r="K17">
        <v>0.23350000000000001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78f15-1ba5-4d98-bde9-462191dd6aff" xsi:nil="true"/>
    <lcf76f155ced4ddcb4097134ff3c332f xmlns="2651133f-d060-41ba-9146-7d56e4112d6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64715A01AFC6488ED70D61FA85B56C" ma:contentTypeVersion="16" ma:contentTypeDescription="Create a new document." ma:contentTypeScope="" ma:versionID="0d24d75978a3fe6b1358364101365183">
  <xsd:schema xmlns:xsd="http://www.w3.org/2001/XMLSchema" xmlns:xs="http://www.w3.org/2001/XMLSchema" xmlns:p="http://schemas.microsoft.com/office/2006/metadata/properties" xmlns:ns2="2651133f-d060-41ba-9146-7d56e4112d6e" xmlns:ns3="26378f15-1ba5-4d98-bde9-462191dd6aff" targetNamespace="http://schemas.microsoft.com/office/2006/metadata/properties" ma:root="true" ma:fieldsID="5f96bebb32ee6bbfe7dacf57b0e2246b" ns2:_="" ns3:_="">
    <xsd:import namespace="2651133f-d060-41ba-9146-7d56e4112d6e"/>
    <xsd:import namespace="26378f15-1ba5-4d98-bde9-462191dd6a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51133f-d060-41ba-9146-7d56e4112d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0ac6538-d41a-4f9a-bd67-5f7ae81a6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78f15-1ba5-4d98-bde9-462191dd6af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ff86daf-4506-4d0e-bbcc-b185ebabdabf}" ma:internalName="TaxCatchAll" ma:showField="CatchAllData" ma:web="26378f15-1ba5-4d98-bde9-462191dd6a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1E9264-E37D-4283-A183-02E3F7A7FFB1}">
  <ds:schemaRefs>
    <ds:schemaRef ds:uri="http://schemas.microsoft.com/office/2006/metadata/properties"/>
    <ds:schemaRef ds:uri="http://schemas.microsoft.com/office/infopath/2007/PartnerControls"/>
    <ds:schemaRef ds:uri="26378f15-1ba5-4d98-bde9-462191dd6aff"/>
    <ds:schemaRef ds:uri="2651133f-d060-41ba-9146-7d56e4112d6e"/>
  </ds:schemaRefs>
</ds:datastoreItem>
</file>

<file path=customXml/itemProps2.xml><?xml version="1.0" encoding="utf-8"?>
<ds:datastoreItem xmlns:ds="http://schemas.openxmlformats.org/officeDocument/2006/customXml" ds:itemID="{00DB11BB-BA80-4616-855F-C5EEF804C2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51133f-d060-41ba-9146-7d56e4112d6e"/>
    <ds:schemaRef ds:uri="26378f15-1ba5-4d98-bde9-462191dd6a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AC23FE9-F6E4-48DC-9383-11E4CB4C2B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Reactance</vt:lpstr>
      <vt:lpstr>Resistance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Pappas, Gregory G.</dc:creator>
  <cp:lastModifiedBy>Thomas Alexander</cp:lastModifiedBy>
  <dcterms:created xsi:type="dcterms:W3CDTF">2024-01-29T15:43:56Z</dcterms:created>
  <dcterms:modified xsi:type="dcterms:W3CDTF">2026-03-26T14:43:27Z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0x0101004164715A01AFC6488ED70D61FA85B56C</vt:lpwstr>
  </property>
</Properties>
</file>